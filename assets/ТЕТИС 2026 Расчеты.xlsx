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4BEBB5E-7673-4916-9FBA-BB102D79D0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F13" i="1"/>
  <c r="I18" i="1"/>
  <c r="H15" i="1"/>
  <c r="H14" i="1"/>
  <c r="I14" i="1"/>
  <c r="I15" i="1"/>
  <c r="H16" i="1"/>
  <c r="I16" i="1"/>
  <c r="H17" i="1"/>
  <c r="I17" i="1"/>
  <c r="H18" i="1"/>
  <c r="H13" i="1"/>
  <c r="I13" i="1" l="1"/>
</calcChain>
</file>

<file path=xl/sharedStrings.xml><?xml version="1.0" encoding="utf-8"?>
<sst xmlns="http://schemas.openxmlformats.org/spreadsheetml/2006/main" count="33" uniqueCount="23">
  <si>
    <t>Месяц</t>
  </si>
  <si>
    <t>Период</t>
  </si>
  <si>
    <t>Тип Билета</t>
  </si>
  <si>
    <t>Взрослый</t>
  </si>
  <si>
    <t>Детский</t>
  </si>
  <si>
    <t xml:space="preserve">Цена Нетто </t>
  </si>
  <si>
    <t>Цена для Туристов</t>
  </si>
  <si>
    <t>Цена для Агентсв</t>
  </si>
  <si>
    <t>Май</t>
  </si>
  <si>
    <t>01/05-22/05</t>
  </si>
  <si>
    <t>Дневной</t>
  </si>
  <si>
    <t>Май/Июнь</t>
  </si>
  <si>
    <t>23/05-31/05</t>
  </si>
  <si>
    <t>Июнь/Август</t>
  </si>
  <si>
    <t>01/06-23/08</t>
  </si>
  <si>
    <t>Август</t>
  </si>
  <si>
    <t>24/08-06/09</t>
  </si>
  <si>
    <t>Сентябрь</t>
  </si>
  <si>
    <t>07/09-20/09</t>
  </si>
  <si>
    <t>21/09-30/09</t>
  </si>
  <si>
    <t>Все Лето</t>
  </si>
  <si>
    <t>01/06-31/08</t>
  </si>
  <si>
    <t>Вечерний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</si>
</sst>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readingOrder="1"/>
    </xf>
    <xf numFmtId="16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I26"/>
  <sheetViews>
    <sheetView tabSelected="1" topLeftCell="A4" zoomScaleNormal="100" workbookViewId="0">
      <selection activeCell="F8" sqref="F8"/>
    </sheetView>
  </sheetViews>
  <sheetFormatPr defaultRowHeight="15" x14ac:dyDescent="0.25"/>
  <cols>
    <col min="1" max="1" width="12.7109375" bestFit="1" customWidth="1"/>
    <col min="2" max="2" width="11.42578125" bestFit="1" customWidth="1"/>
    <col min="3" max="3" width="11.140625" bestFit="1" customWidth="1"/>
    <col min="4" max="4" width="9.85546875" style="1" bestFit="1" customWidth="1"/>
    <col min="5" max="5" width="11.140625" style="1" customWidth="1"/>
    <col min="6" max="6" width="9.85546875" style="1" bestFit="1" customWidth="1"/>
    <col min="7" max="7" width="8.5703125" style="1" customWidth="1"/>
    <col min="8" max="8" width="9.85546875" style="1" bestFit="1" customWidth="1"/>
    <col min="9" max="9" width="12.5703125" style="1" customWidth="1"/>
  </cols>
  <sheetData>
    <row r="10" spans="1:9" x14ac:dyDescent="0.25">
      <c r="A10" s="11" t="s">
        <v>0</v>
      </c>
      <c r="B10" s="11" t="s">
        <v>1</v>
      </c>
      <c r="C10" s="11" t="s">
        <v>2</v>
      </c>
      <c r="D10" s="11" t="s">
        <v>5</v>
      </c>
      <c r="E10" s="11"/>
      <c r="F10" s="11" t="s">
        <v>6</v>
      </c>
      <c r="G10" s="11"/>
      <c r="H10" s="11" t="s">
        <v>7</v>
      </c>
      <c r="I10" s="11"/>
    </row>
    <row r="11" spans="1:9" ht="27" customHeight="1" x14ac:dyDescent="0.25">
      <c r="A11" s="11"/>
      <c r="B11" s="11"/>
      <c r="C11" s="11"/>
      <c r="D11" s="2" t="s">
        <v>3</v>
      </c>
      <c r="E11" s="2" t="s">
        <v>4</v>
      </c>
      <c r="F11" s="2" t="s">
        <v>3</v>
      </c>
      <c r="G11" s="2" t="s">
        <v>4</v>
      </c>
      <c r="H11" s="2" t="s">
        <v>3</v>
      </c>
      <c r="I11" s="2" t="s">
        <v>4</v>
      </c>
    </row>
    <row r="12" spans="1:9" hidden="1" x14ac:dyDescent="0.25">
      <c r="A12" s="3" t="s">
        <v>8</v>
      </c>
      <c r="B12" s="3" t="s">
        <v>9</v>
      </c>
      <c r="C12" s="3" t="s">
        <v>10</v>
      </c>
      <c r="D12" s="3">
        <v>7650</v>
      </c>
      <c r="E12" s="3">
        <v>6120</v>
      </c>
      <c r="F12" s="4">
        <v>8500</v>
      </c>
      <c r="G12" s="4">
        <v>6800</v>
      </c>
      <c r="H12" s="4">
        <v>8200</v>
      </c>
      <c r="I12" s="4">
        <v>6500</v>
      </c>
    </row>
    <row r="13" spans="1:9" x14ac:dyDescent="0.25">
      <c r="A13" s="3" t="s">
        <v>11</v>
      </c>
      <c r="B13" s="3" t="s">
        <v>12</v>
      </c>
      <c r="C13" s="3" t="s">
        <v>10</v>
      </c>
      <c r="D13" s="3">
        <v>10200</v>
      </c>
      <c r="E13" s="3">
        <v>8160</v>
      </c>
      <c r="F13" s="3">
        <f>D13+900</f>
        <v>11100</v>
      </c>
      <c r="G13" s="3">
        <f>E13+700</f>
        <v>8860</v>
      </c>
      <c r="H13" s="3">
        <f>D13+700</f>
        <v>10900</v>
      </c>
      <c r="I13" s="3">
        <f t="shared" ref="I13:I16" si="0">E13+500</f>
        <v>8660</v>
      </c>
    </row>
    <row r="14" spans="1:9" x14ac:dyDescent="0.25">
      <c r="A14" s="12" t="s">
        <v>13</v>
      </c>
      <c r="B14" s="12" t="s">
        <v>14</v>
      </c>
      <c r="C14" s="12" t="s">
        <v>10</v>
      </c>
      <c r="D14" s="12">
        <v>12750</v>
      </c>
      <c r="E14" s="12">
        <v>10200</v>
      </c>
      <c r="F14" s="12">
        <v>14000</v>
      </c>
      <c r="G14" s="12">
        <v>11500</v>
      </c>
      <c r="H14" s="12">
        <f>D14+700</f>
        <v>13450</v>
      </c>
      <c r="I14" s="12">
        <f t="shared" ref="I14" si="1">E14+500</f>
        <v>10700</v>
      </c>
    </row>
    <row r="15" spans="1:9" x14ac:dyDescent="0.25">
      <c r="A15" s="3" t="s">
        <v>15</v>
      </c>
      <c r="B15" s="3" t="s">
        <v>16</v>
      </c>
      <c r="C15" s="3" t="s">
        <v>10</v>
      </c>
      <c r="D15" s="3">
        <v>10200</v>
      </c>
      <c r="E15" s="3">
        <v>8160</v>
      </c>
      <c r="F15" s="3">
        <v>11500</v>
      </c>
      <c r="G15" s="3">
        <v>9200</v>
      </c>
      <c r="H15" s="3">
        <f>D15+1000</f>
        <v>11200</v>
      </c>
      <c r="I15" s="3">
        <f>E15+700</f>
        <v>8860</v>
      </c>
    </row>
    <row r="16" spans="1:9" x14ac:dyDescent="0.25">
      <c r="A16" s="3" t="s">
        <v>17</v>
      </c>
      <c r="B16" s="3" t="s">
        <v>18</v>
      </c>
      <c r="C16" s="3" t="s">
        <v>10</v>
      </c>
      <c r="D16" s="3">
        <v>8500</v>
      </c>
      <c r="E16" s="3">
        <v>6800</v>
      </c>
      <c r="F16" s="3">
        <v>9500</v>
      </c>
      <c r="G16" s="3">
        <v>7500</v>
      </c>
      <c r="H16" s="3">
        <f>D16+700</f>
        <v>9200</v>
      </c>
      <c r="I16" s="3">
        <f t="shared" si="0"/>
        <v>7300</v>
      </c>
    </row>
    <row r="17" spans="1:9" x14ac:dyDescent="0.25">
      <c r="A17" s="3" t="s">
        <v>17</v>
      </c>
      <c r="B17" s="3" t="s">
        <v>19</v>
      </c>
      <c r="C17" s="3" t="s">
        <v>10</v>
      </c>
      <c r="D17" s="3">
        <v>7650</v>
      </c>
      <c r="E17" s="3">
        <v>6120</v>
      </c>
      <c r="F17" s="3">
        <v>8500</v>
      </c>
      <c r="G17" s="3">
        <v>6700</v>
      </c>
      <c r="H17" s="3">
        <f>D17+700</f>
        <v>8350</v>
      </c>
      <c r="I17" s="3">
        <f>E17+400</f>
        <v>6520</v>
      </c>
    </row>
    <row r="18" spans="1:9" x14ac:dyDescent="0.25">
      <c r="A18" s="10" t="s">
        <v>20</v>
      </c>
      <c r="B18" s="10" t="s">
        <v>21</v>
      </c>
      <c r="C18" s="10" t="s">
        <v>22</v>
      </c>
      <c r="D18" s="10">
        <v>8500</v>
      </c>
      <c r="E18" s="10">
        <v>6800</v>
      </c>
      <c r="F18" s="10">
        <v>9500</v>
      </c>
      <c r="G18" s="10">
        <v>7500</v>
      </c>
      <c r="H18" s="10">
        <f>D18+500</f>
        <v>9000</v>
      </c>
      <c r="I18" s="10">
        <f>E18+380</f>
        <v>7180</v>
      </c>
    </row>
    <row r="23" spans="1:9" ht="15.75" x14ac:dyDescent="0.25">
      <c r="A23" s="5"/>
      <c r="B23" s="5"/>
      <c r="C23" s="5"/>
      <c r="F23" s="5"/>
    </row>
    <row r="24" spans="1:9" ht="33" customHeight="1" x14ac:dyDescent="0.25">
      <c r="B24" s="9"/>
      <c r="C24" s="6"/>
      <c r="F24" s="6"/>
    </row>
    <row r="25" spans="1:9" x14ac:dyDescent="0.25">
      <c r="B25" s="7"/>
    </row>
    <row r="26" spans="1:9" ht="15.75" x14ac:dyDescent="0.25">
      <c r="B26" s="8"/>
    </row>
  </sheetData>
  <mergeCells count="6">
    <mergeCell ref="D10:E10"/>
    <mergeCell ref="F10:G10"/>
    <mergeCell ref="H10:I10"/>
    <mergeCell ref="A10:A11"/>
    <mergeCell ref="B10:B11"/>
    <mergeCell ref="C10:C11"/>
  </mergeCells>
  <pageMargins left="0.20833333333333334" right="0.17708333333333334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2026-05-11T07:12:19Z</cp:lastPrinted>
  <dcterms:created xsi:type="dcterms:W3CDTF">2015-06-05T18:17:20Z</dcterms:created>
  <dcterms:modified xsi:type="dcterms:W3CDTF">2026-07-12T17:28:45Z</dcterms:modified>
</cp:coreProperties>
</file>